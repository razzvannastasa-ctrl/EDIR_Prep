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Counts" sheetId="1" state="visible" r:id="rId1"/>
    <sheet xmlns:r="http://schemas.openxmlformats.org/officeDocument/2006/relationships" name="Section Audit" sheetId="2" state="visible" r:id="rId2"/>
  </sheets>
  <definedNames>
    <definedName name="_xlnm._FilterDatabase" localSheetId="0" hidden="1">'Case Counts'!$A$4:$F$18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FFFFFF"/>
    </font>
    <font>
      <b val="1"/>
    </font>
    <font>
      <b val="1"/>
      <sz val="12"/>
    </font>
    <font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4">
    <border>
      <left/>
      <right/>
      <top/>
      <bottom/>
      <diagonal/>
    </border>
    <border>
      <top style="medium">
        <color rgb="009EADCC"/>
      </top>
      <bottom style="medium">
        <color rgb="009EADCC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5" borderId="3" applyAlignment="1" pivotButton="0" quotePrefix="0" xfId="0">
      <alignment vertical="center"/>
    </xf>
    <xf numFmtId="3" fontId="5" fillId="5" borderId="3" applyAlignment="1" pivotButton="0" quotePrefix="0" xfId="0">
      <alignment vertical="center"/>
    </xf>
    <xf numFmtId="3" fontId="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left" vertical="center" wrapText="1"/>
    </xf>
    <xf numFmtId="0" fontId="4" fillId="6" borderId="3" applyAlignment="1" pivotButton="0" quotePrefix="0" xfId="0">
      <alignment vertical="center"/>
    </xf>
    <xf numFmtId="3" fontId="5" fillId="6" borderId="3" applyAlignment="1" pivotButton="0" quotePrefix="0" xfId="0">
      <alignment vertical="center"/>
    </xf>
    <xf numFmtId="0" fontId="4" fillId="4" borderId="3" applyAlignment="1" pivotButton="0" quotePrefix="0" xfId="0">
      <alignment vertical="center"/>
    </xf>
    <xf numFmtId="3" fontId="5" fillId="4" borderId="3" applyAlignment="1" pivotButton="0" quotePrefix="0" xfId="0">
      <alignment vertical="center"/>
    </xf>
    <xf numFmtId="0" fontId="4" fillId="4" borderId="2" applyAlignment="1" pivotButton="0" quotePrefix="0" xfId="0">
      <alignment horizontal="left" vertical="center" wrapText="1"/>
    </xf>
    <xf numFmtId="3" fontId="4" fillId="4" borderId="2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/>
    </xf>
    <xf numFmtId="0" fontId="3" fillId="2" borderId="2" applyAlignment="1" pivotButton="0" quotePrefix="0" xfId="0">
      <alignment vertical="center"/>
    </xf>
    <xf numFmtId="3" fontId="3" fillId="2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3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Cases by Chapter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'Case Counts'!C4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'Case Counts'!$A$5:$A$18</f>
            </numRef>
          </cat>
          <val>
            <numRef>
              <f>'Case Counts'!$C$5:$C$18</f>
            </numRef>
          </val>
        </ser>
        <ser>
          <idx val="1"/>
          <order val="1"/>
          <tx>
            <strRef>
              <f>'Case Counts'!D4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'Case Counts'!$A$5:$A$18</f>
            </numRef>
          </cat>
          <val>
            <numRef>
              <f>'Case Counts'!$D$5:$D$18</f>
            </numRef>
          </val>
        </ser>
        <ser>
          <idx val="2"/>
          <order val="2"/>
          <tx>
            <strRef>
              <f>'Case Counts'!E4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'Case Counts'!$A$5:$A$18</f>
            </numRef>
          </cat>
          <val>
            <numRef>
              <f>'Case Counts'!$E$5:$E$18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Chapter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7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hapterCaseCounts" displayName="ChapterCaseCounts" ref="A4:F18" headerRowCount="1">
  <autoFilter ref="A4:F18"/>
  <tableColumns count="6">
    <tableColumn id="1" name="Chapter #"/>
    <tableColumn id="2" name="Chapter Title"/>
    <tableColumn id="3" name="CORE Cases"/>
    <tableColumn id="4" name="Short Cases (SC)"/>
    <tableColumn id="5" name="Total Cases (CORE + SC)"/>
    <tableColumn id="6" name="Other/MRQ Exclud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62" customWidth="1" min="2" max="2"/>
    <col width="13" customWidth="1" min="3" max="3"/>
    <col width="16" customWidth="1" min="4" max="4"/>
    <col width="22" customWidth="1" min="5" max="5"/>
    <col width="18" customWidth="1" min="6" max="6"/>
    <col width="20" customWidth="1" min="8" max="8"/>
    <col width="16" customWidth="1" min="9" max="9"/>
  </cols>
  <sheetData>
    <row r="1">
      <c r="A1" s="1" t="inlineStr">
        <is>
          <t>EDiR Prep Case Counts by Chapter</t>
        </is>
      </c>
    </row>
    <row r="2">
      <c r="A2" s="2" t="inlineStr">
        <is>
          <t>Total Cases is calculated as CORE + Short Cases (SC). MRQ and other sections are excluded from that total.</t>
        </is>
      </c>
    </row>
    <row r="4" ht="24" customHeight="1">
      <c r="A4" s="3" t="inlineStr">
        <is>
          <t>Chapter #</t>
        </is>
      </c>
      <c r="B4" s="3" t="inlineStr">
        <is>
          <t>Chapter Title</t>
        </is>
      </c>
      <c r="C4" s="3" t="inlineStr">
        <is>
          <t>CORE Cases</t>
        </is>
      </c>
      <c r="D4" s="3" t="inlineStr">
        <is>
          <t>Short Cases (SC)</t>
        </is>
      </c>
      <c r="E4" s="3" t="inlineStr">
        <is>
          <t>Total Cases (CORE + SC)</t>
        </is>
      </c>
      <c r="F4" s="3" t="inlineStr">
        <is>
          <t>Other/MRQ Excluded</t>
        </is>
      </c>
      <c r="H4" s="4" t="inlineStr">
        <is>
          <t>CORE Cases</t>
        </is>
      </c>
      <c r="I4" s="5">
        <f>C20</f>
        <v/>
      </c>
    </row>
    <row r="5" ht="24" customHeight="1">
      <c r="A5" s="6" t="n">
        <v>1</v>
      </c>
      <c r="B5" s="7" t="inlineStr">
        <is>
          <t>Abdominal Radiology</t>
        </is>
      </c>
      <c r="C5" s="6" t="n">
        <v>202</v>
      </c>
      <c r="D5" s="6" t="n">
        <v>262</v>
      </c>
      <c r="E5" s="6">
        <f>C5+D5</f>
        <v/>
      </c>
      <c r="F5" s="6" t="n">
        <v>28</v>
      </c>
      <c r="H5" s="8" t="inlineStr">
        <is>
          <t>Short Cases (SC)</t>
        </is>
      </c>
      <c r="I5" s="9">
        <f>D20</f>
        <v/>
      </c>
    </row>
    <row r="6" ht="24" customHeight="1">
      <c r="A6" s="6" t="n">
        <v>2</v>
      </c>
      <c r="B6" s="7" t="inlineStr">
        <is>
          <t>Breast Radiology</t>
        </is>
      </c>
      <c r="C6" s="6" t="n">
        <v>101</v>
      </c>
      <c r="D6" s="6" t="n">
        <v>142</v>
      </c>
      <c r="E6" s="6">
        <f>C6+D6</f>
        <v/>
      </c>
      <c r="F6" s="6" t="n">
        <v>21</v>
      </c>
      <c r="H6" s="10" t="inlineStr">
        <is>
          <t>Total CORE + SC</t>
        </is>
      </c>
      <c r="I6" s="11">
        <f>E20</f>
        <v/>
      </c>
    </row>
    <row r="7" ht="24" customHeight="1">
      <c r="A7" s="6" t="n">
        <v>3</v>
      </c>
      <c r="B7" s="7" t="inlineStr">
        <is>
          <t>Cardiac Radiology</t>
        </is>
      </c>
      <c r="C7" s="6" t="n">
        <v>135</v>
      </c>
      <c r="D7" s="6" t="n">
        <v>105</v>
      </c>
      <c r="E7" s="6">
        <f>C7+D7</f>
        <v/>
      </c>
      <c r="F7" s="6" t="n">
        <v>12</v>
      </c>
    </row>
    <row r="8" ht="24" customHeight="1">
      <c r="A8" s="6" t="n">
        <v>4</v>
      </c>
      <c r="B8" s="7" t="inlineStr">
        <is>
          <t>Chest and Thorax Radiology</t>
        </is>
      </c>
      <c r="C8" s="6" t="n">
        <v>116</v>
      </c>
      <c r="D8" s="6" t="n">
        <v>171</v>
      </c>
      <c r="E8" s="6">
        <f>C8+D8</f>
        <v/>
      </c>
      <c r="F8" s="6" t="n">
        <v>28</v>
      </c>
    </row>
    <row r="9" ht="24" customHeight="1">
      <c r="A9" s="6" t="n">
        <v>5</v>
      </c>
      <c r="B9" s="7" t="inlineStr">
        <is>
          <t>Genitourinary Radiology</t>
        </is>
      </c>
      <c r="C9" s="6" t="n">
        <v>161</v>
      </c>
      <c r="D9" s="6" t="n">
        <v>236</v>
      </c>
      <c r="E9" s="6">
        <f>C9+D9</f>
        <v/>
      </c>
      <c r="F9" s="6" t="n">
        <v>22</v>
      </c>
    </row>
    <row r="10" ht="24" customHeight="1">
      <c r="A10" s="6" t="n">
        <v>6</v>
      </c>
      <c r="B10" s="7" t="inlineStr">
        <is>
          <t>Head and Neck</t>
        </is>
      </c>
      <c r="C10" s="6" t="n">
        <v>88</v>
      </c>
      <c r="D10" s="6" t="n">
        <v>140</v>
      </c>
      <c r="E10" s="6">
        <f>C10+D10</f>
        <v/>
      </c>
      <c r="F10" s="6" t="n">
        <v>23</v>
      </c>
    </row>
    <row r="11" ht="24" customHeight="1">
      <c r="A11" s="6" t="n">
        <v>7</v>
      </c>
      <c r="B11" s="7" t="inlineStr">
        <is>
          <t>Interventional and Vascular Radiology</t>
        </is>
      </c>
      <c r="C11" s="6" t="n">
        <v>102</v>
      </c>
      <c r="D11" s="6" t="n">
        <v>111</v>
      </c>
      <c r="E11" s="6">
        <f>C11+D11</f>
        <v/>
      </c>
      <c r="F11" s="6" t="n">
        <v>34</v>
      </c>
    </row>
    <row r="12" ht="24" customHeight="1">
      <c r="A12" s="6" t="n">
        <v>8</v>
      </c>
      <c r="B12" s="7" t="inlineStr">
        <is>
          <t>Musculoskeletal Radiology</t>
        </is>
      </c>
      <c r="C12" s="6" t="n">
        <v>139</v>
      </c>
      <c r="D12" s="6" t="n">
        <v>219</v>
      </c>
      <c r="E12" s="6">
        <f>C12+D12</f>
        <v/>
      </c>
      <c r="F12" s="6" t="n">
        <v>28</v>
      </c>
    </row>
    <row r="13" ht="24" customHeight="1">
      <c r="A13" s="6" t="n">
        <v>9</v>
      </c>
      <c r="B13" s="7" t="inlineStr">
        <is>
          <t>Neuroradiology</t>
        </is>
      </c>
      <c r="C13" s="6" t="n">
        <v>158</v>
      </c>
      <c r="D13" s="6" t="n">
        <v>177</v>
      </c>
      <c r="E13" s="6">
        <f>C13+D13</f>
        <v/>
      </c>
      <c r="F13" s="6" t="n">
        <v>29</v>
      </c>
    </row>
    <row r="14" ht="24" customHeight="1">
      <c r="A14" s="6" t="n">
        <v>10</v>
      </c>
      <c r="B14" s="7" t="inlineStr">
        <is>
          <t>Pediatric Radiology</t>
        </is>
      </c>
      <c r="C14" s="6" t="n">
        <v>161</v>
      </c>
      <c r="D14" s="6" t="n">
        <v>238</v>
      </c>
      <c r="E14" s="6">
        <f>C14+D14</f>
        <v/>
      </c>
      <c r="F14" s="6" t="n">
        <v>28</v>
      </c>
    </row>
    <row r="15" ht="24" customHeight="1">
      <c r="A15" s="6" t="n">
        <v>11</v>
      </c>
      <c r="B15" s="7" t="inlineStr">
        <is>
          <t>Safety in Radiology (Radiation, MRI, Ultrasound, Interventional Procedures, and Contrast Media)</t>
        </is>
      </c>
      <c r="C15" s="6" t="n">
        <v>1</v>
      </c>
      <c r="D15" s="6" t="n">
        <v>6</v>
      </c>
      <c r="E15" s="6">
        <f>C15+D15</f>
        <v/>
      </c>
      <c r="F15" s="6" t="n">
        <v>7</v>
      </c>
    </row>
    <row r="16" ht="24" customHeight="1">
      <c r="A16" s="6" t="n">
        <v>12</v>
      </c>
      <c r="B16" s="7" t="inlineStr">
        <is>
          <t>Physics, Principles of Imaging Techniques, and Informatics</t>
        </is>
      </c>
      <c r="C16" s="6" t="n">
        <v>6</v>
      </c>
      <c r="D16" s="6" t="n">
        <v>19</v>
      </c>
      <c r="E16" s="6">
        <f>C16+D16</f>
        <v/>
      </c>
      <c r="F16" s="6" t="n">
        <v>10</v>
      </c>
    </row>
    <row r="17" ht="24" customHeight="1">
      <c r="A17" s="6" t="n">
        <v>13</v>
      </c>
      <c r="B17" s="7" t="inlineStr">
        <is>
          <t>Communication and Management</t>
        </is>
      </c>
      <c r="C17" s="6" t="n">
        <v>0</v>
      </c>
      <c r="D17" s="6" t="n">
        <v>0</v>
      </c>
      <c r="E17" s="6">
        <f>C17+D17</f>
        <v/>
      </c>
      <c r="F17" s="6" t="n">
        <v>12</v>
      </c>
    </row>
    <row r="18" ht="24" customHeight="1">
      <c r="A18" s="6" t="n">
        <v>14</v>
      </c>
      <c r="B18" s="7" t="inlineStr">
        <is>
          <t>Hybrid Imaging</t>
        </is>
      </c>
      <c r="C18" s="6" t="n">
        <v>6</v>
      </c>
      <c r="D18" s="6" t="n">
        <v>44</v>
      </c>
      <c r="E18" s="6">
        <f>C18+D18</f>
        <v/>
      </c>
      <c r="F18" s="6" t="n">
        <v>15</v>
      </c>
    </row>
    <row r="19" ht="24" customHeight="1">
      <c r="A19" s="6" t="n"/>
      <c r="B19" s="7" t="n"/>
      <c r="C19" s="6" t="n"/>
      <c r="D19" s="6" t="n"/>
      <c r="E19" s="6" t="n"/>
      <c r="F19" s="6" t="n"/>
    </row>
    <row r="20" ht="24" customHeight="1">
      <c r="A20" s="6" t="n"/>
      <c r="B20" s="12" t="inlineStr">
        <is>
          <t>Grand Total</t>
        </is>
      </c>
      <c r="C20" s="13">
        <f>SUM(C5:C18)</f>
        <v/>
      </c>
      <c r="D20" s="13">
        <f>SUM(D5:D18)</f>
        <v/>
      </c>
      <c r="E20" s="13">
        <f>SUM(E5:E18)</f>
        <v/>
      </c>
      <c r="F20" s="13">
        <f>SUM(F5:F18)</f>
        <v/>
      </c>
    </row>
  </sheetData>
  <autoFilter ref="A4:F18"/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4" t="inlineStr">
        <is>
          <t>Database Section Audit</t>
        </is>
      </c>
    </row>
    <row r="3">
      <c r="A3" s="15" t="inlineStr">
        <is>
          <t>Section label</t>
        </is>
      </c>
      <c r="B3" s="16" t="inlineStr">
        <is>
          <t>Cases</t>
        </is>
      </c>
      <c r="C3" s="15" t="inlineStr">
        <is>
          <t>Included in total?</t>
        </is>
      </c>
    </row>
    <row r="4">
      <c r="A4" s="17" t="inlineStr">
        <is>
          <t>core</t>
        </is>
      </c>
      <c r="B4" s="18" t="n">
        <v>1376</v>
      </c>
      <c r="C4" s="17" t="inlineStr">
        <is>
          <t>Yes</t>
        </is>
      </c>
    </row>
    <row r="5">
      <c r="A5" s="17" t="inlineStr">
        <is>
          <t>mrq</t>
        </is>
      </c>
      <c r="B5" s="18" t="n">
        <v>297</v>
      </c>
      <c r="C5" s="17" t="inlineStr">
        <is>
          <t>No</t>
        </is>
      </c>
    </row>
    <row r="6">
      <c r="A6" s="17" t="inlineStr">
        <is>
          <t>sc</t>
        </is>
      </c>
      <c r="B6" s="18" t="n">
        <v>1870</v>
      </c>
      <c r="C6" s="17" t="inlineStr">
        <is>
          <t>Yes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2026-07-04T13:25:46Z</dcterms:created>
  <dcterms:modified xmlns:dcterms="http://purl.org/dc/terms/" xmlns:xsi="http://www.w3.org/2001/XMLSchema-instance" xsi:type="dcterms:W3CDTF">2026-07-04T13:25:46Z</dcterms:modified>
</cp:coreProperties>
</file>